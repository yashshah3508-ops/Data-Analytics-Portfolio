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yashshah/Downloads/"/>
    </mc:Choice>
  </mc:AlternateContent>
  <xr:revisionPtr revIDLastSave="0" documentId="8_{EA46C4E2-D87C-3645-A09A-458325586062}" xr6:coauthVersionLast="47" xr6:coauthVersionMax="47" xr10:uidLastSave="{00000000-0000-0000-0000-000000000000}"/>
  <bookViews>
    <workbookView xWindow="0" yWindow="660" windowWidth="29400" windowHeight="17060" activeTab="3" xr2:uid="{00000000-000D-0000-FFFF-FFFF00000000}"/>
  </bookViews>
  <sheets>
    <sheet name="Sheet1" sheetId="1" r:id="rId1"/>
    <sheet name="Dashboard" sheetId="2" r:id="rId2"/>
    <sheet name="Pivots" sheetId="3" r:id="rId3"/>
    <sheet name="Executive Dashboard" sheetId="4" r:id="rId4"/>
  </sheets>
  <definedNames>
    <definedName name="Slicer_District">#N/A</definedName>
    <definedName name="Slicer_Stat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" l="1" a="1"/>
  <c r="A14" i="4"/>
  <c r="A8" i="4" a="1"/>
  <c r="A8" i="4"/>
  <c r="I4" i="4"/>
  <c r="G4" i="4"/>
  <c r="E4" i="4"/>
  <c r="C4" i="4"/>
  <c r="A4" i="4"/>
  <c r="M3" i="2" a="1"/>
  <c r="M3" i="2"/>
  <c r="J3" i="2"/>
  <c r="K3" i="2"/>
  <c r="J4" i="2"/>
  <c r="K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<sst xmlns="http://schemas.openxmlformats.org/spreadsheetml/2006/main" count="106" uniqueCount="46">
  <si>
    <t>State</t>
  </si>
  <si>
    <t>District</t>
  </si>
  <si>
    <t>Literacy Rate (%)</t>
  </si>
  <si>
    <t>Population</t>
  </si>
  <si>
    <t>Health Centers</t>
  </si>
  <si>
    <t>Schools</t>
  </si>
  <si>
    <t>Health Centers per 1,000</t>
  </si>
  <si>
    <t>Schools per 1,000</t>
  </si>
  <si>
    <t>Development Score</t>
  </si>
  <si>
    <t>State A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</si>
  <si>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</si>
  <si>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</si>
  <si>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</si>
  <si>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</si>
  <si>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</si>
  <si>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</si>
  <si>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</si>
  <si>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</si>
  <si>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</si>
  <si>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District 10</t>
  </si>
  <si>
    <t>State B</t>
  </si>
  <si>
    <t>District 11</t>
  </si>
  <si>
    <t>District 12</t>
  </si>
  <si>
    <t>District 13</t>
  </si>
  <si>
    <t>District 14</t>
  </si>
  <si>
    <t>District 15</t>
  </si>
  <si>
    <t>District 16</t>
  </si>
  <si>
    <t>District 17</t>
  </si>
  <si>
    <t>District 18</t>
  </si>
  <si>
    <t>District 19</t>
  </si>
  <si>
    <t>District 20</t>
  </si>
  <si>
    <t>📊 District Data Dashboard</t>
  </si>
  <si>
    <t>Avg Development Score</t>
  </si>
  <si>
    <t>📌 Pivot Tables</t>
  </si>
  <si>
    <t>Row Labels</t>
  </si>
  <si>
    <t>Total Population</t>
  </si>
  <si>
    <t>Total Health Centers</t>
  </si>
  <si>
    <t>Total Schools</t>
  </si>
  <si>
    <t>Average of Literacy Rate (%)</t>
  </si>
  <si>
    <t>Average of Development Score</t>
  </si>
  <si>
    <t>Grand Total</t>
  </si>
  <si>
    <t>(All)</t>
  </si>
  <si>
    <t>Population (Sum)</t>
  </si>
  <si>
    <t>📊 Executive Dashboard — District Data</t>
  </si>
  <si>
    <t>Avg Literacy (%)</t>
  </si>
  <si>
    <t>🎛️ Filters (use slicers)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</si>
</sst>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3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4" borderId="0" xfId="0" applyFont="1" applyFill="1"/>
    <xf numFmtId="2" fontId="7" fillId="4" borderId="0" xfId="0" applyNumberFormat="1" applyFont="1" applyFill="1"/>
    <xf numFmtId="1" fontId="7" fillId="4" borderId="0" xfId="0" applyNumberFormat="1" applyFont="1" applyFill="1"/>
    <xf numFmtId="0" fontId="0" fillId="0" borderId="0" xfId="0"/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2" fontId="4" fillId="3" borderId="5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2" borderId="0" xfId="0" applyFont="1" applyFill="1"/>
    <xf numFmtId="0" fontId="0" fillId="2" borderId="0" xfId="0" applyFill="1"/>
    <xf numFmtId="0" fontId="6" fillId="0" borderId="0" xfId="0" applyFont="1"/>
    <xf numFmtId="3" fontId="4" fillId="3" borderId="5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3">
    <dxf>
      <numFmt numFmtId="2" formatCode="0.00"/>
      <alignment horizontal="right"/>
    </dxf>
    <dxf>
      <numFmt numFmtId="164" formatCode="0.000"/>
      <alignment horizontal="right"/>
    </dxf>
    <dxf>
      <numFmt numFmtId="164" formatCode="0.000"/>
      <alignment horizontal="right"/>
    </dxf>
    <dxf>
      <numFmt numFmtId="1" formatCode="0"/>
      <alignment horizontal="right"/>
    </dxf>
    <dxf>
      <numFmt numFmtId="1" formatCode="0"/>
      <alignment horizontal="right"/>
    </dxf>
    <dxf>
      <numFmt numFmtId="3" formatCode="#,##0"/>
      <alignment horizontal="right"/>
    </dxf>
    <dxf>
      <numFmt numFmtId="1" formatCode="0"/>
      <alignment horizontal="right"/>
    </dxf>
    <dxf>
      <numFmt numFmtId="30" formatCode="@"/>
      <alignment horizontal="left"/>
    </dxf>
    <dxf>
      <numFmt numFmtId="30" formatCode="@"/>
      <alignment horizontal="left"/>
    </dxf>
    <dxf>
      <border>
        <top style="thin">
          <color rgb="FF000000"/>
        </top>
      </border>
    </dxf>
    <dxf>
      <alignment horizontal="right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Development Score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Avg Development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Dashboard!$J$3:$J$4</c:f>
              <c:strCache>
                <c:ptCount val="2"/>
                <c:pt idx="0">
                  <c:v>State A</c:v>
                </c:pt>
                <c:pt idx="1">
                  <c:v>State B</c:v>
                </c:pt>
              </c:strCache>
            </c:strRef>
          </c:cat>
          <c:val>
            <c:numRef>
              <c:f>Dashboard!$K$3:$K$4</c:f>
              <c:numCache>
                <c:formatCode>0.00</c:formatCode>
                <c:ptCount val="2"/>
                <c:pt idx="0">
                  <c:v>50.831539614524061</c:v>
                </c:pt>
                <c:pt idx="1">
                  <c:v>55.618405530379405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7-4988-A76E-4277E9DD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939272"/>
        <c:axId val="1556941320"/>
      </c:barChart>
      <c:catAx>
        <c:axId val="155693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41320"/>
        <c:crosses val="autoZero"/>
        <c:auto val="1"/>
        <c:lblAlgn val="ctr"/>
        <c:lblOffset val="100"/>
        <c:noMultiLvlLbl val="0"/>
      </c:catAx>
      <c:valAx>
        <c:axId val="155694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3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Districts (Avg Development Score)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Dashboard!$N$2</c:f>
              <c:strCache>
                <c:ptCount val="1"/>
                <c:pt idx="0">
                  <c:v>Avg Development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Dashboard!$M$3:$M$12</c:f>
              <c:strCache>
                <c:ptCount val="10"/>
                <c:pt idx="0">
                  <c:v>District 4</c:v>
                </c:pt>
                <c:pt idx="1">
                  <c:v>District 15</c:v>
                </c:pt>
                <c:pt idx="2">
                  <c:v>District 7</c:v>
                </c:pt>
                <c:pt idx="3">
                  <c:v>District 12</c:v>
                </c:pt>
                <c:pt idx="4">
                  <c:v>District 20</c:v>
                </c:pt>
                <c:pt idx="5">
                  <c:v>District 18</c:v>
                </c:pt>
                <c:pt idx="6">
                  <c:v>District 19</c:v>
                </c:pt>
                <c:pt idx="7">
                  <c:v>District 13</c:v>
                </c:pt>
                <c:pt idx="8">
                  <c:v>District 17</c:v>
                </c:pt>
                <c:pt idx="9">
                  <c:v>District 14</c:v>
                </c:pt>
              </c:strCache>
            </c:strRef>
          </c:cat>
          <c:val>
            <c:numRef>
              <c:f>Dashboard!$N$3:$N$12</c:f>
              <c:numCache>
                <c:formatCode>0.00</c:formatCode>
                <c:ptCount val="10"/>
                <c:pt idx="0">
                  <c:v>140.07991430101771</c:v>
                </c:pt>
                <c:pt idx="1">
                  <c:v>73.180098385949435</c:v>
                </c:pt>
                <c:pt idx="2">
                  <c:v>70.963430381288831</c:v>
                </c:pt>
                <c:pt idx="3">
                  <c:v>68.710982531951515</c:v>
                </c:pt>
                <c:pt idx="4">
                  <c:v>63.188504808227819</c:v>
                </c:pt>
                <c:pt idx="5">
                  <c:v>59.78899525978251</c:v>
                </c:pt>
                <c:pt idx="6">
                  <c:v>58.041726144347727</c:v>
                </c:pt>
                <c:pt idx="7">
                  <c:v>53.654715829379818</c:v>
                </c:pt>
                <c:pt idx="8">
                  <c:v>47.866676484773961</c:v>
                </c:pt>
                <c:pt idx="9">
                  <c:v>47.586076984232449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5-4927-BEF3-BFFB9C435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4715016"/>
        <c:axId val="1564717064"/>
      </c:barChart>
      <c:catAx>
        <c:axId val="1564715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17064"/>
        <c:crosses val="autoZero"/>
        <c:auto val="1"/>
        <c:lblAlgn val="ctr"/>
        <c:lblOffset val="100"/>
        <c:noMultiLvlLbl val="0"/>
      </c:catAx>
      <c:valAx>
        <c:axId val="156471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15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Development Score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Dashboard'!$B$7:$B$13</c:f>
              <c:strCache>
                <c:ptCount val="7"/>
                <c:pt idx="0">
                  <c:v>Avg Development Score</c:v>
                </c:pt>
                <c:pt idx="1">
                  <c:v>50.83</c:v>
                </c:pt>
                <c:pt idx="2">
                  <c:v>55.62</c:v>
                </c:pt>
                <c:pt idx="6">
                  <c:v>Avg Development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Dashboard'!$A$14:$A$20</c:f>
              <c:strCache>
                <c:ptCount val="7"/>
                <c:pt idx="0">
                  <c:v>District 4</c:v>
                </c:pt>
                <c:pt idx="1">
                  <c:v>District 15</c:v>
                </c:pt>
                <c:pt idx="2">
                  <c:v>District 7</c:v>
                </c:pt>
                <c:pt idx="3">
                  <c:v>District 12</c:v>
                </c:pt>
                <c:pt idx="4">
                  <c:v>District 20</c:v>
                </c:pt>
                <c:pt idx="5">
                  <c:v>District 18</c:v>
                </c:pt>
                <c:pt idx="6">
                  <c:v>District 19</c:v>
                </c:pt>
              </c:strCache>
            </c:strRef>
          </c:cat>
          <c:val>
            <c:numRef>
              <c:f>'Executive Dashboard'!$B$14:$B$20</c:f>
              <c:numCache>
                <c:formatCode>0.00</c:formatCode>
                <c:ptCount val="7"/>
                <c:pt idx="0">
                  <c:v>140.07991430101771</c:v>
                </c:pt>
                <c:pt idx="1">
                  <c:v>73.180098385949435</c:v>
                </c:pt>
                <c:pt idx="2">
                  <c:v>70.963430381288831</c:v>
                </c:pt>
                <c:pt idx="3">
                  <c:v>68.710982531951515</c:v>
                </c:pt>
                <c:pt idx="4">
                  <c:v>63.188504808227819</c:v>
                </c:pt>
                <c:pt idx="5">
                  <c:v>59.78899525978251</c:v>
                </c:pt>
                <c:pt idx="6">
                  <c:v>58.041726144347727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A-4E5F-846F-7DFE69858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510728"/>
        <c:axId val="1580512776"/>
      </c:barChart>
      <c:catAx>
        <c:axId val="158051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12776"/>
        <c:crosses val="autoZero"/>
        <c:auto val="1"/>
        <c:lblAlgn val="ctr"/>
        <c:lblOffset val="100"/>
        <c:noMultiLvlLbl val="0"/>
      </c:catAx>
      <c:valAx>
        <c:axId val="158051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1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Districts — Development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Dashboard'!$A$13</c:f>
              <c:strCache>
                <c:ptCount val="1"/>
                <c:pt idx="0">
                  <c:v>District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'Executive Dashboard'!$A$14:$A$30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5-4405-9916-1A42E95E26C2}"/>
            </c:ext>
          </c:extLst>
        </c:ser>
        <c:ser>
          <c:idx val="1"/>
          <c:order val="1"/>
          <c:tx>
            <c:strRef>
              <c:f>'Executive Dashboard'!$B$13</c:f>
              <c:strCache>
                <c:ptCount val="1"/>
                <c:pt idx="0">
                  <c:v>Avg Development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'Executive Dashboard'!$B$14:$B$30</c:f>
              <c:numCache>
                <c:formatCode>0.00</c:formatCode>
                <c:ptCount val="17"/>
                <c:pt idx="0">
                  <c:v>140.07991430101771</c:v>
                </c:pt>
                <c:pt idx="1">
                  <c:v>73.180098385949435</c:v>
                </c:pt>
                <c:pt idx="2">
                  <c:v>70.963430381288831</c:v>
                </c:pt>
                <c:pt idx="3">
                  <c:v>68.710982531951515</c:v>
                </c:pt>
                <c:pt idx="4">
                  <c:v>63.188504808227819</c:v>
                </c:pt>
                <c:pt idx="5">
                  <c:v>59.78899525978251</c:v>
                </c:pt>
                <c:pt idx="6">
                  <c:v>58.041726144347727</c:v>
                </c:pt>
                <c:pt idx="7">
                  <c:v>53.654715829379818</c:v>
                </c:pt>
                <c:pt idx="8">
                  <c:v>47.866676484773961</c:v>
                </c:pt>
                <c:pt idx="9">
                  <c:v>47.586076984232449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5-4405-9916-1A42E95E2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3358984"/>
        <c:axId val="1583361032"/>
      </c:barChart>
      <c:catAx>
        <c:axId val="158335898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361032"/>
        <c:crosses val="autoZero"/>
        <c:auto val="1"/>
        <c:lblAlgn val="ctr"/>
        <c:lblOffset val="100"/>
        <c:noMultiLvlLbl val="0"/>
      </c:catAx>
      <c:valAx>
        <c:axId val="1583361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35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3</xdr:row>
      <xdr:rowOff>41275</xdr:rowOff>
    </xdr:from>
    <xdr:to>
      <xdr:col>8</xdr:col>
      <xdr:colOff>457200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e Slicer">
              <a:extLst>
                <a:ext uri="{FF2B5EF4-FFF2-40B4-BE49-F238E27FC236}">
                  <a16:creationId xmlns:a16="http://schemas.microsoft.com/office/drawing/2014/main" id="{CFAF56E6-78AD-38EF-F0BA-412C0D258D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Slic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708025"/>
              <a:ext cx="2159000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612775</xdr:colOff>
      <xdr:row>6</xdr:row>
      <xdr:rowOff>98425</xdr:rowOff>
    </xdr:from>
    <xdr:to>
      <xdr:col>11</xdr:col>
      <xdr:colOff>492125</xdr:colOff>
      <xdr:row>19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strict Slicer">
              <a:extLst>
                <a:ext uri="{FF2B5EF4-FFF2-40B4-BE49-F238E27FC236}">
                  <a16:creationId xmlns:a16="http://schemas.microsoft.com/office/drawing/2014/main" id="{93F4C273-FB1A-723C-3F2E-A6D0C1CA36ED}"/>
                </a:ext>
                <a:ext uri="{147F2762-F138-4A5C-976F-8EAC2B608ADB}">
                  <a16:predDERef xmlns:a16="http://schemas.microsoft.com/office/drawing/2014/main" pred="{CFAF56E6-78AD-38EF-F0BA-412C0D258D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ct Slic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1575" y="1308100"/>
              <a:ext cx="2794000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13</xdr:row>
      <xdr:rowOff>0</xdr:rowOff>
    </xdr:from>
    <xdr:to>
      <xdr:col>4</xdr:col>
      <xdr:colOff>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3A7F7E-3C5E-6D78-96BA-70896FC8B318}"/>
            </a:ext>
            <a:ext uri="{147F2762-F138-4A5C-976F-8EAC2B608ADB}">
              <a16:predDERef xmlns:a16="http://schemas.microsoft.com/office/drawing/2014/main" pred="{93F4C273-FB1A-723C-3F2E-A6D0C1CA3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F3DBFB-3348-BC1C-926B-FEF4AE2C604F}"/>
            </a:ext>
            <a:ext uri="{147F2762-F138-4A5C-976F-8EAC2B608ADB}">
              <a16:predDERef xmlns:a16="http://schemas.microsoft.com/office/drawing/2014/main" pred="{673A7F7E-3C5E-6D78-96BA-70896FC8B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C6606-40C3-1658-C116-B3AD8B600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1791A0-BA16-A0DC-6C51-5A4B68AA2096}"/>
            </a:ext>
            <a:ext uri="{147F2762-F138-4A5C-976F-8EAC2B608ADB}">
              <a16:predDERef xmlns:a16="http://schemas.microsoft.com/office/drawing/2014/main" pred="{BE4C6606-40C3-1658-C116-B3AD8B600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118059143519" createdVersion="8" refreshedVersion="8" minRefreshableVersion="3" recordCount="20" xr:uid="{6501CCA8-8D40-4C3E-B52F-45960B7C16E3}">
  <cacheSource type="worksheet">
    <worksheetSource name="District_Data"/>
  </cacheSource>
  <cacheFields count="9">
    <cacheField name="State" numFmtId="49">
      <sharedItems count="2">
        <s v="State A"/>
        <s v="State B"/>
      </sharedItems>
    </cacheField>
    <cacheField name="District" numFmtId="49">
      <sharedItems count="20">
        <s v="District 1"/>
        <s v="District 2"/>
        <s v="District 3"/>
        <s v="District 4"/>
        <s v="District 5"/>
        <s v="District 6"/>
        <s v="District 7"/>
        <s v="District 8"/>
        <s v="District 9"/>
        <s v="District 10"/>
        <s v="District 11"/>
        <s v="District 12"/>
        <s v="District 13"/>
        <s v="District 14"/>
        <s v="District 15"/>
        <s v="District 16"/>
        <s v="District 17"/>
        <s v="District 18"/>
        <s v="District 19"/>
        <s v="District 20"/>
      </sharedItems>
    </cacheField>
    <cacheField name="Literacy Rate (%)" numFmtId="1">
      <sharedItems containsSemiMixedTypes="0" containsString="0" containsNumber="1" containsInteger="1" minValue="60" maxValue="85"/>
    </cacheField>
    <cacheField name="Population" numFmtId="3">
      <sharedItems containsSemiMixedTypes="0" containsString="0" containsNumber="1" containsInteger="1" minValue="57877" maxValue="491170"/>
    </cacheField>
    <cacheField name="Health Centers" numFmtId="1">
      <sharedItems containsSemiMixedTypes="0" containsString="0" containsNumber="1" containsInteger="1" minValue="5" maxValue="47"/>
    </cacheField>
    <cacheField name="Schools" numFmtId="1">
      <sharedItems containsSemiMixedTypes="0" containsString="0" containsNumber="1" containsInteger="1" minValue="21" maxValue="194"/>
    </cacheField>
    <cacheField name="Health Centers per 1,000" numFmtId="164">
      <sharedItems containsSemiMixedTypes="0" containsString="0" containsNumber="1" minValue="1.0179774823380909E-2" maxValue="0.48378457763878568"/>
    </cacheField>
    <cacheField name="Schools per 1,000" numFmtId="164">
      <sharedItems containsSemiMixedTypes="0" containsString="0" containsNumber="1" minValue="5.4865813895159272E-2" maxValue="3.265545899061804"/>
    </cacheField>
    <cacheField name="Development Score" numFmtId="2">
      <sharedItems containsSemiMixedTypes="0" containsString="0" containsNumber="1" minValue="29.66764484574869" maxValue="140.07991430101771"/>
    </cacheField>
  </cacheFields>
  <extLst>
    <ext xmlns:x14="http://schemas.microsoft.com/office/spreadsheetml/2009/9/main" uri="{725AE2AE-9491-48be-B2B4-4EB974FC3084}">
      <x14:pivotCacheDefinition pivotCacheId="326688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60"/>
    <n v="379843"/>
    <n v="37"/>
    <n v="140"/>
    <n v="9.740866621209289E-2"/>
    <n v="0.36857333161332451"/>
    <n v="37.979459934762517"/>
  </r>
  <r>
    <x v="0"/>
    <x v="1"/>
    <n v="63"/>
    <n v="382752"/>
    <n v="36"/>
    <n v="21"/>
    <n v="9.4055680963130175E-2"/>
    <n v="5.4865813895159272E-2"/>
    <n v="29.66764484574869"/>
  </r>
  <r>
    <x v="0"/>
    <x v="2"/>
    <n v="63"/>
    <n v="480835"/>
    <n v="15"/>
    <n v="85"/>
    <n v="3.1195732423804419E-2"/>
    <n v="0.17677581706822509"/>
    <n v="31.43914648476089"/>
  </r>
  <r>
    <x v="0"/>
    <x v="3"/>
    <n v="69"/>
    <n v="57877"/>
    <n v="28"/>
    <n v="189"/>
    <n v="0.48378457763878568"/>
    <n v="3.265545899061804"/>
    <n v="140.07991430101771"/>
  </r>
  <r>
    <x v="0"/>
    <x v="4"/>
    <n v="79"/>
    <n v="396110"/>
    <n v="40"/>
    <n v="77"/>
    <n v="0.1009820504405342"/>
    <n v="0.1943904470980283"/>
    <n v="40.461174926156879"/>
  </r>
  <r>
    <x v="0"/>
    <x v="5"/>
    <n v="81"/>
    <n v="445087"/>
    <n v="16"/>
    <n v="55"/>
    <n v="3.5948028138319023E-2"/>
    <n v="0.1235713467254717"/>
    <n v="37.185581245913717"/>
  </r>
  <r>
    <x v="0"/>
    <x v="6"/>
    <n v="83"/>
    <n v="123135"/>
    <n v="33"/>
    <n v="122"/>
    <n v="0.26799853818979169"/>
    <n v="0.99078247451983592"/>
    <n v="70.963430381288831"/>
  </r>
  <r>
    <x v="0"/>
    <x v="7"/>
    <n v="66"/>
    <n v="445712"/>
    <n v="39"/>
    <n v="139"/>
    <n v="8.7500448720249854E-2"/>
    <n v="0.31186057364396741"/>
    <n v="38.380830670926521"/>
  </r>
  <r>
    <x v="0"/>
    <x v="8"/>
    <n v="84"/>
    <n v="491170"/>
    <n v="5"/>
    <n v="31"/>
    <n v="1.0179774823380909E-2"/>
    <n v="6.3114603904961625E-2"/>
    <n v="35.798831361850283"/>
  </r>
  <r>
    <x v="0"/>
    <x v="9"/>
    <n v="84"/>
    <n v="467891"/>
    <n v="5"/>
    <n v="194"/>
    <n v="1.0686249575221581E-2"/>
    <n v="0.41462648351859732"/>
    <n v="46.359381992814562"/>
  </r>
  <r>
    <x v="1"/>
    <x v="10"/>
    <n v="72"/>
    <n v="420648"/>
    <n v="41"/>
    <n v="102"/>
    <n v="9.7468667389361177E-2"/>
    <n v="0.24248302618816681"/>
    <n v="38.998550807325842"/>
  </r>
  <r>
    <x v="1"/>
    <x v="11"/>
    <n v="61"/>
    <n v="81921"/>
    <n v="10"/>
    <n v="111"/>
    <n v="0.1220688224020703"/>
    <n v="1.35496392866298"/>
    <n v="68.710982531951515"/>
  </r>
  <r>
    <x v="1"/>
    <x v="12"/>
    <n v="83"/>
    <n v="280131"/>
    <n v="43"/>
    <n v="148"/>
    <n v="0.15349961268120979"/>
    <n v="0.52832424829811764"/>
    <n v="53.654715829379818"/>
  </r>
  <r>
    <x v="1"/>
    <x v="13"/>
    <n v="84"/>
    <n v="444013"/>
    <n v="45"/>
    <n v="162"/>
    <n v="0.1013483839437134"/>
    <n v="0.36485418219736809"/>
    <n v="47.586076984232449"/>
  </r>
  <r>
    <x v="1"/>
    <x v="14"/>
    <n v="77"/>
    <n v="99811"/>
    <n v="22"/>
    <n v="119"/>
    <n v="0.2204165873500917"/>
    <n v="1.1922533588482229"/>
    <n v="73.180098385949435"/>
  </r>
  <r>
    <x v="1"/>
    <x v="15"/>
    <n v="85"/>
    <n v="249827"/>
    <n v="20"/>
    <n v="73"/>
    <n v="8.0055398335648273E-2"/>
    <n v="0.2922022039251162"/>
    <n v="45.167728067822942"/>
  </r>
  <r>
    <x v="1"/>
    <x v="16"/>
    <n v="73"/>
    <n v="271607"/>
    <n v="9"/>
    <n v="160"/>
    <n v="3.3136112103149033E-2"/>
    <n v="0.58908643738931621"/>
    <n v="47.866676484773961"/>
  </r>
  <r>
    <x v="1"/>
    <x v="17"/>
    <n v="68"/>
    <n v="172144"/>
    <n v="46"/>
    <n v="141"/>
    <n v="0.26721814295008828"/>
    <n v="0.81908169904266193"/>
    <n v="59.78899525978251"/>
  </r>
  <r>
    <x v="1"/>
    <x v="18"/>
    <n v="69"/>
    <n v="233561"/>
    <n v="47"/>
    <n v="190"/>
    <n v="0.2012322262706531"/>
    <n v="0.81349197854093791"/>
    <n v="58.041726144347727"/>
  </r>
  <r>
    <x v="1"/>
    <x v="19"/>
    <n v="80"/>
    <n v="134665"/>
    <n v="36"/>
    <n v="104"/>
    <n v="0.26733004121338139"/>
    <n v="0.77228678572754617"/>
    <n v="63.1885048082278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14FA6-B3EE-4A03-B76F-3DECC9C7E59B}" name="ptState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" firstHeaderRow="0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dataField="1" numFmtId="1" showAll="0"/>
    <pivotField dataField="1" numFmtId="3" showAll="0"/>
    <pivotField dataField="1" numFmtId="1" showAll="0"/>
    <pivotField dataField="1" numFmtId="1" showAll="0"/>
    <pivotField numFmtId="164" showAll="0"/>
    <pivotField numFmtId="164" showAll="0"/>
    <pivotField dataField="1" numFmtId="2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Population" fld="3" baseField="0" baseItem="0" numFmtId="3"/>
    <dataField name="Total Health Centers" fld="4" baseField="0" baseItem="0" numFmtId="1"/>
    <dataField name="Total Schools" fld="5" baseField="0" baseItem="0" numFmtId="1"/>
    <dataField name="Average of Literacy Rate (%)" fld="2" subtotal="average" baseField="0" baseItem="0" numFmtId="1"/>
    <dataField name="Average of Development Score" fld="8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2E834-3B1D-4E9B-907F-F2444941048A}" name="ptDistrict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D43" firstHeaderRow="0" firstDataRow="1" firstDataCol="1" rowPageCount="1" colPageCount="1"/>
  <pivotFields count="9">
    <pivotField axis="axisPage" showAll="0">
      <items count="3">
        <item x="0"/>
        <item x="1"/>
        <item t="default"/>
      </items>
    </pivotField>
    <pivotField axis="axisRow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"/>
        <item x="3"/>
        <item x="4"/>
        <item x="5"/>
        <item x="6"/>
        <item x="7"/>
        <item x="8"/>
        <item t="default"/>
      </items>
    </pivotField>
    <pivotField dataField="1" numFmtId="1" showAll="0"/>
    <pivotField dataField="1" numFmtId="3" showAll="0"/>
    <pivotField numFmtId="1" showAll="0"/>
    <pivotField numFmtId="1" showAll="0"/>
    <pivotField numFmtId="164" showAll="0"/>
    <pivotField numFmtId="164" showAll="0"/>
    <pivotField dataField="1" numFmtId="2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Average of Development Score" fld="8" subtotal="average" baseField="0" baseItem="0" numFmtId="2"/>
    <dataField name="Population (Sum)" fld="3" baseField="0" baseItem="0" numFmtId="3"/>
    <dataField name="Average of Literacy Rate (%)" fld="2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23588245-81EE-40CB-B95F-DBDBCA70814D}" sourceName="State">
  <pivotTables>
    <pivotTable tabId="3" name="ptDistrictSummary"/>
  </pivotTables>
  <data>
    <tabular pivotCacheId="3266889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strict" xr10:uid="{A4191801-654A-482B-A44C-1620966D899E}" sourceName="District">
  <pivotTables>
    <pivotTable tabId="3" name="ptDistrictSummary"/>
  </pivotTables>
  <data>
    <tabular pivotCacheId="32668892">
      <items count="20">
        <i x="0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" s="1"/>
        <i x="19" s="1"/>
        <i x="2" s="1"/>
        <i x="3" s="1"/>
        <i x="4" s="1"/>
        <i x="5" s="1"/>
        <i x="6" s="1"/>
        <i x="7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Slicer" xr10:uid="{D127CBB5-FF9A-419A-832A-171FF07D0170}" cache="Slicer_State" caption="State" style="SlicerStyleLight6" rowHeight="228600"/>
  <slicer name="District Slicer" xr10:uid="{A27429EC-AA75-48EC-AEF0-BDC6E755AD87}" cache="Slicer_District" caption="District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80051-299A-4618-95B6-897868457431}" name="District_Data" displayName="District_Data" ref="A1:I21" totalsRowShown="0" headerRowDxfId="12" dataDxfId="10" headerRowBorderDxfId="11" tableBorderDxfId="9">
  <autoFilter ref="A1:I21" xr:uid="{96B80051-299A-4618-95B6-897868457431}"/>
  <tableColumns count="9">
    <tableColumn id="1" xr3:uid="{57519C15-EB7D-4C38-A257-1272406A175A}" name="State" dataDxfId="8"/>
    <tableColumn id="2" xr3:uid="{B00BEE1F-423D-4C74-B2F7-5863279EF74A}" name="District" dataDxfId="7"/>
    <tableColumn id="3" xr3:uid="{C6B57EA3-ED8D-4CEC-8DB9-D67D4E035C24}" name="Literacy Rate (%)" dataDxfId="6"/>
    <tableColumn id="4" xr3:uid="{554B21FD-B6AF-4B3A-AA21-0028115BAB75}" name="Population" dataDxfId="5"/>
    <tableColumn id="5" xr3:uid="{B8795A6A-90C6-4D5C-986B-DCF340CAECAC}" name="Health Centers" dataDxfId="4"/>
    <tableColumn id="6" xr3:uid="{1D636D22-9ADD-4373-A39F-B527CD4F9483}" name="Schools" dataDxfId="3"/>
    <tableColumn id="7" xr3:uid="{A29EDB68-CC0B-4D44-9CB3-CDDDF62C44DA}" name="Health Centers per 1,000" dataDxfId="2"/>
    <tableColumn id="8" xr3:uid="{4C87BE42-2D4E-4364-983C-9CBA3108952B}" name="Schools per 1,000" dataDxfId="1"/>
    <tableColumn id="9" xr3:uid="{D9F878F1-8717-4EA9-92FD-8B885F7EEA73}" name="Development 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workbookViewId="0">
      <pane ySplit="1" topLeftCell="A2" activePane="bottomLeft" state="frozen"/>
      <selection pane="bottomLeft"/>
    </sheetView>
  </sheetViews>
  <sheetFormatPr baseColWidth="10" defaultColWidth="14.33203125" defaultRowHeight="15" customHeight="1" x14ac:dyDescent="0.2"/>
  <cols>
    <col min="1" max="1" width="6.83203125" bestFit="1" customWidth="1"/>
    <col min="2" max="2" width="9.1640625" bestFit="1" customWidth="1"/>
    <col min="3" max="3" width="15.83203125" bestFit="1" customWidth="1"/>
    <col min="4" max="4" width="11.1640625" bestFit="1" customWidth="1"/>
    <col min="5" max="5" width="14.1640625" bestFit="1" customWidth="1"/>
    <col min="6" max="6" width="8.6640625" bestFit="1" customWidth="1"/>
    <col min="7" max="7" width="22" bestFit="1" customWidth="1"/>
    <col min="8" max="8" width="16.33203125" bestFit="1" customWidth="1"/>
    <col min="9" max="9" width="18" bestFit="1" customWidth="1"/>
    <col min="10" max="11" width="8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0" t="s">
        <v>9</v>
      </c>
      <c r="B2" s="10" t="s">
        <v>10</v>
      </c>
      <c r="C2" s="6">
        <v>60</v>
      </c>
      <c r="D2" s="7">
        <v>379843</v>
      </c>
      <c r="E2" s="6">
        <v>37</v>
      </c>
      <c r="F2" s="6">
        <v>140</v>
      </c>
      <c r="G2" s="8">
        <v>9.740866621209289E-2</v>
      </c>
      <c r="H2" s="8">
        <v>0.36857333161332451</v>
      </c>
      <c r="I2" s="9">
        <v>37.979459934762517</v>
      </c>
    </row>
    <row r="3" spans="1:9" x14ac:dyDescent="0.2">
      <c r="A3" s="10" t="s">
        <v>9</v>
      </c>
      <c r="B3" s="10" t="s">
        <v>11</v>
      </c>
      <c r="C3" s="6">
        <v>63</v>
      </c>
      <c r="D3" s="7">
        <v>382752</v>
      </c>
      <c r="E3" s="6">
        <v>36</v>
      </c>
      <c r="F3" s="6">
        <v>21</v>
      </c>
      <c r="G3" s="8">
        <v>9.4055680963130175E-2</v>
      </c>
      <c r="H3" s="8">
        <v>5.4865813895159272E-2</v>
      </c>
      <c r="I3" s="9">
        <v>29.66764484574869</v>
      </c>
    </row>
    <row r="4" spans="1:9" x14ac:dyDescent="0.2">
      <c r="A4" s="10" t="s">
        <v>9</v>
      </c>
      <c r="B4" s="10" t="s">
        <v>12</v>
      </c>
      <c r="C4" s="6">
        <v>63</v>
      </c>
      <c r="D4" s="7">
        <v>480835</v>
      </c>
      <c r="E4" s="6">
        <v>15</v>
      </c>
      <c r="F4" s="6">
        <v>85</v>
      </c>
      <c r="G4" s="8">
        <v>3.1195732423804419E-2</v>
      </c>
      <c r="H4" s="8">
        <v>0.17677581706822509</v>
      </c>
      <c r="I4" s="9">
        <v>31.43914648476089</v>
      </c>
    </row>
    <row r="5" spans="1:9" x14ac:dyDescent="0.2">
      <c r="A5" s="10" t="s">
        <v>9</v>
      </c>
      <c r="B5" s="10" t="s">
        <v>13</v>
      </c>
      <c r="C5" s="6">
        <v>69</v>
      </c>
      <c r="D5" s="7">
        <v>57877</v>
      </c>
      <c r="E5" s="6">
        <v>28</v>
      </c>
      <c r="F5" s="6">
        <v>189</v>
      </c>
      <c r="G5" s="8">
        <v>0.48378457763878568</v>
      </c>
      <c r="H5" s="8">
        <v>3.265545899061804</v>
      </c>
      <c r="I5" s="9">
        <v>140.07991430101771</v>
      </c>
    </row>
    <row r="6" spans="1:9" x14ac:dyDescent="0.2">
      <c r="A6" s="10" t="s">
        <v>9</v>
      </c>
      <c r="B6" s="10" t="s">
        <v>14</v>
      </c>
      <c r="C6" s="6">
        <v>79</v>
      </c>
      <c r="D6" s="7">
        <v>396110</v>
      </c>
      <c r="E6" s="6">
        <v>40</v>
      </c>
      <c r="F6" s="6">
        <v>77</v>
      </c>
      <c r="G6" s="8">
        <v>0.1009820504405342</v>
      </c>
      <c r="H6" s="8">
        <v>0.1943904470980283</v>
      </c>
      <c r="I6" s="9">
        <v>40.461174926156879</v>
      </c>
    </row>
    <row r="7" spans="1:9" x14ac:dyDescent="0.2">
      <c r="A7" s="10" t="s">
        <v>9</v>
      </c>
      <c r="B7" s="10" t="s">
        <v>15</v>
      </c>
      <c r="C7" s="6">
        <v>81</v>
      </c>
      <c r="D7" s="7">
        <v>445087</v>
      </c>
      <c r="E7" s="6">
        <v>16</v>
      </c>
      <c r="F7" s="6">
        <v>55</v>
      </c>
      <c r="G7" s="8">
        <v>3.5948028138319023E-2</v>
      </c>
      <c r="H7" s="8">
        <v>0.1235713467254717</v>
      </c>
      <c r="I7" s="9">
        <v>37.185581245913717</v>
      </c>
    </row>
    <row r="8" spans="1:9" x14ac:dyDescent="0.2">
      <c r="A8" s="10" t="s">
        <v>9</v>
      </c>
      <c r="B8" s="10" t="s">
        <v>16</v>
      </c>
      <c r="C8" s="6">
        <v>83</v>
      </c>
      <c r="D8" s="7">
        <v>123135</v>
      </c>
      <c r="E8" s="6">
        <v>33</v>
      </c>
      <c r="F8" s="6">
        <v>122</v>
      </c>
      <c r="G8" s="8">
        <v>0.26799853818979169</v>
      </c>
      <c r="H8" s="8">
        <v>0.99078247451983592</v>
      </c>
      <c r="I8" s="9">
        <v>70.963430381288831</v>
      </c>
    </row>
    <row r="9" spans="1:9" x14ac:dyDescent="0.2">
      <c r="A9" s="10" t="s">
        <v>9</v>
      </c>
      <c r="B9" s="10" t="s">
        <v>17</v>
      </c>
      <c r="C9" s="6">
        <v>66</v>
      </c>
      <c r="D9" s="7">
        <v>445712</v>
      </c>
      <c r="E9" s="6">
        <v>39</v>
      </c>
      <c r="F9" s="6">
        <v>139</v>
      </c>
      <c r="G9" s="8">
        <v>8.7500448720249854E-2</v>
      </c>
      <c r="H9" s="8">
        <v>0.31186057364396741</v>
      </c>
      <c r="I9" s="9">
        <v>38.380830670926521</v>
      </c>
    </row>
    <row r="10" spans="1:9" x14ac:dyDescent="0.2">
      <c r="A10" s="10" t="s">
        <v>9</v>
      </c>
      <c r="B10" s="10" t="s">
        <v>18</v>
      </c>
      <c r="C10" s="6">
        <v>84</v>
      </c>
      <c r="D10" s="7">
        <v>491170</v>
      </c>
      <c r="E10" s="6">
        <v>5</v>
      </c>
      <c r="F10" s="6">
        <v>31</v>
      </c>
      <c r="G10" s="8">
        <v>1.0179774823380909E-2</v>
      </c>
      <c r="H10" s="8">
        <v>6.3114603904961625E-2</v>
      </c>
      <c r="I10" s="9">
        <v>35.798831361850283</v>
      </c>
    </row>
    <row r="11" spans="1:9" x14ac:dyDescent="0.2">
      <c r="A11" s="10" t="s">
        <v>9</v>
      </c>
      <c r="B11" s="10" t="s">
        <v>19</v>
      </c>
      <c r="C11" s="6">
        <v>84</v>
      </c>
      <c r="D11" s="7">
        <v>467891</v>
      </c>
      <c r="E11" s="6">
        <v>5</v>
      </c>
      <c r="F11" s="6">
        <v>194</v>
      </c>
      <c r="G11" s="8">
        <v>1.0686249575221581E-2</v>
      </c>
      <c r="H11" s="8">
        <v>0.41462648351859732</v>
      </c>
      <c r="I11" s="9">
        <v>46.359381992814562</v>
      </c>
    </row>
    <row r="12" spans="1:9" x14ac:dyDescent="0.2">
      <c r="A12" s="10" t="s">
        <v>20</v>
      </c>
      <c r="B12" s="10" t="s">
        <v>21</v>
      </c>
      <c r="C12" s="6">
        <v>72</v>
      </c>
      <c r="D12" s="7">
        <v>420648</v>
      </c>
      <c r="E12" s="6">
        <v>41</v>
      </c>
      <c r="F12" s="6">
        <v>102</v>
      </c>
      <c r="G12" s="8">
        <v>9.7468667389361177E-2</v>
      </c>
      <c r="H12" s="8">
        <v>0.24248302618816681</v>
      </c>
      <c r="I12" s="9">
        <v>38.998550807325842</v>
      </c>
    </row>
    <row r="13" spans="1:9" x14ac:dyDescent="0.2">
      <c r="A13" s="10" t="s">
        <v>20</v>
      </c>
      <c r="B13" s="10" t="s">
        <v>22</v>
      </c>
      <c r="C13" s="6">
        <v>61</v>
      </c>
      <c r="D13" s="7">
        <v>81921</v>
      </c>
      <c r="E13" s="6">
        <v>10</v>
      </c>
      <c r="F13" s="6">
        <v>111</v>
      </c>
      <c r="G13" s="8">
        <v>0.1220688224020703</v>
      </c>
      <c r="H13" s="8">
        <v>1.35496392866298</v>
      </c>
      <c r="I13" s="9">
        <v>68.710982531951515</v>
      </c>
    </row>
    <row r="14" spans="1:9" x14ac:dyDescent="0.2">
      <c r="A14" s="10" t="s">
        <v>20</v>
      </c>
      <c r="B14" s="10" t="s">
        <v>23</v>
      </c>
      <c r="C14" s="6">
        <v>83</v>
      </c>
      <c r="D14" s="7">
        <v>280131</v>
      </c>
      <c r="E14" s="6">
        <v>43</v>
      </c>
      <c r="F14" s="6">
        <v>148</v>
      </c>
      <c r="G14" s="8">
        <v>0.15349961268120979</v>
      </c>
      <c r="H14" s="8">
        <v>0.52832424829811764</v>
      </c>
      <c r="I14" s="9">
        <v>53.654715829379818</v>
      </c>
    </row>
    <row r="15" spans="1:9" x14ac:dyDescent="0.2">
      <c r="A15" s="10" t="s">
        <v>20</v>
      </c>
      <c r="B15" s="10" t="s">
        <v>24</v>
      </c>
      <c r="C15" s="6">
        <v>84</v>
      </c>
      <c r="D15" s="7">
        <v>444013</v>
      </c>
      <c r="E15" s="6">
        <v>45</v>
      </c>
      <c r="F15" s="6">
        <v>162</v>
      </c>
      <c r="G15" s="8">
        <v>0.1013483839437134</v>
      </c>
      <c r="H15" s="8">
        <v>0.36485418219736809</v>
      </c>
      <c r="I15" s="9">
        <v>47.586076984232449</v>
      </c>
    </row>
    <row r="16" spans="1:9" x14ac:dyDescent="0.2">
      <c r="A16" s="10" t="s">
        <v>20</v>
      </c>
      <c r="B16" s="10" t="s">
        <v>25</v>
      </c>
      <c r="C16" s="6">
        <v>77</v>
      </c>
      <c r="D16" s="7">
        <v>99811</v>
      </c>
      <c r="E16" s="6">
        <v>22</v>
      </c>
      <c r="F16" s="6">
        <v>119</v>
      </c>
      <c r="G16" s="8">
        <v>0.2204165873500917</v>
      </c>
      <c r="H16" s="8">
        <v>1.1922533588482229</v>
      </c>
      <c r="I16" s="9">
        <v>73.180098385949435</v>
      </c>
    </row>
    <row r="17" spans="1:9" x14ac:dyDescent="0.2">
      <c r="A17" s="10" t="s">
        <v>20</v>
      </c>
      <c r="B17" s="10" t="s">
        <v>26</v>
      </c>
      <c r="C17" s="6">
        <v>85</v>
      </c>
      <c r="D17" s="7">
        <v>249827</v>
      </c>
      <c r="E17" s="6">
        <v>20</v>
      </c>
      <c r="F17" s="6">
        <v>73</v>
      </c>
      <c r="G17" s="8">
        <v>8.0055398335648273E-2</v>
      </c>
      <c r="H17" s="8">
        <v>0.2922022039251162</v>
      </c>
      <c r="I17" s="9">
        <v>45.167728067822942</v>
      </c>
    </row>
    <row r="18" spans="1:9" x14ac:dyDescent="0.2">
      <c r="A18" s="10" t="s">
        <v>20</v>
      </c>
      <c r="B18" s="10" t="s">
        <v>27</v>
      </c>
      <c r="C18" s="6">
        <v>73</v>
      </c>
      <c r="D18" s="7">
        <v>271607</v>
      </c>
      <c r="E18" s="6">
        <v>9</v>
      </c>
      <c r="F18" s="6">
        <v>160</v>
      </c>
      <c r="G18" s="8">
        <v>3.3136112103149033E-2</v>
      </c>
      <c r="H18" s="8">
        <v>0.58908643738931621</v>
      </c>
      <c r="I18" s="9">
        <v>47.866676484773961</v>
      </c>
    </row>
    <row r="19" spans="1:9" x14ac:dyDescent="0.2">
      <c r="A19" s="10" t="s">
        <v>20</v>
      </c>
      <c r="B19" s="10" t="s">
        <v>28</v>
      </c>
      <c r="C19" s="6">
        <v>68</v>
      </c>
      <c r="D19" s="7">
        <v>172144</v>
      </c>
      <c r="E19" s="6">
        <v>46</v>
      </c>
      <c r="F19" s="6">
        <v>141</v>
      </c>
      <c r="G19" s="8">
        <v>0.26721814295008828</v>
      </c>
      <c r="H19" s="8">
        <v>0.81908169904266193</v>
      </c>
      <c r="I19" s="9">
        <v>59.78899525978251</v>
      </c>
    </row>
    <row r="20" spans="1:9" x14ac:dyDescent="0.2">
      <c r="A20" s="10" t="s">
        <v>20</v>
      </c>
      <c r="B20" s="10" t="s">
        <v>29</v>
      </c>
      <c r="C20" s="6">
        <v>69</v>
      </c>
      <c r="D20" s="7">
        <v>233561</v>
      </c>
      <c r="E20" s="6">
        <v>47</v>
      </c>
      <c r="F20" s="6">
        <v>190</v>
      </c>
      <c r="G20" s="8">
        <v>0.2012322262706531</v>
      </c>
      <c r="H20" s="8">
        <v>0.81349197854093791</v>
      </c>
      <c r="I20" s="9">
        <v>58.041726144347727</v>
      </c>
    </row>
    <row r="21" spans="1:9" x14ac:dyDescent="0.2">
      <c r="A21" s="10" t="s">
        <v>20</v>
      </c>
      <c r="B21" s="10" t="s">
        <v>30</v>
      </c>
      <c r="C21" s="6">
        <v>80</v>
      </c>
      <c r="D21" s="7">
        <v>134665</v>
      </c>
      <c r="E21" s="6">
        <v>36</v>
      </c>
      <c r="F21" s="6">
        <v>104</v>
      </c>
      <c r="G21" s="8">
        <v>0.26733004121338139</v>
      </c>
      <c r="H21" s="8">
        <v>0.77228678572754617</v>
      </c>
      <c r="I21" s="9">
        <v>63.188504808227819</v>
      </c>
    </row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1D29-ABB0-4CD5-A58F-8282F8365763}">
  <dimension ref="A1:N12"/>
  <sheetViews>
    <sheetView workbookViewId="0">
      <selection sqref="A1:H1"/>
    </sheetView>
  </sheetViews>
  <sheetFormatPr baseColWidth="10" defaultColWidth="8.83203125" defaultRowHeight="15" x14ac:dyDescent="0.2"/>
  <cols>
    <col min="1" max="8" width="3" customWidth="1"/>
    <col min="10" max="10" width="6.83203125" bestFit="1" customWidth="1"/>
    <col min="11" max="11" width="22.33203125" bestFit="1" customWidth="1"/>
    <col min="13" max="13" width="9.1640625" bestFit="1" customWidth="1"/>
    <col min="14" max="14" width="22.33203125" bestFit="1" customWidth="1"/>
  </cols>
  <sheetData>
    <row r="1" spans="1:14" ht="24" x14ac:dyDescent="0.3">
      <c r="A1" s="32" t="s">
        <v>31</v>
      </c>
      <c r="B1" s="32"/>
      <c r="C1" s="32"/>
      <c r="D1" s="32"/>
      <c r="E1" s="32"/>
      <c r="F1" s="32"/>
      <c r="G1" s="32"/>
      <c r="H1" s="32"/>
    </row>
    <row r="2" spans="1:14" x14ac:dyDescent="0.2">
      <c r="J2" s="11" t="s">
        <v>0</v>
      </c>
      <c r="K2" s="11" t="s">
        <v>32</v>
      </c>
      <c r="M2" s="11" t="s">
        <v>1</v>
      </c>
      <c r="N2" s="11" t="s">
        <v>32</v>
      </c>
    </row>
    <row r="3" spans="1:14" x14ac:dyDescent="0.2">
      <c r="J3" s="5" t="str">
        <f>Pivots!A4</f>
        <v>State A</v>
      </c>
      <c r="K3" s="4">
        <f>Pivots!F4</f>
        <v>50.831539614524061</v>
      </c>
      <c r="M3" s="5" t="str" cm="1">
        <f t="array" ref="M3:N12">_xlfn.LET(_xlpm.src,Pivots!A23:B200, _xlpm.data,_xlfn._xlws.FILTER(_xlpm.src, INDEX(_xlpm.src,,1)&lt;&gt;"Grand Total"), _xlfn.TAKE(_xlfn._xlws.SORT(_xlpm.data,2,-1),10))</f>
        <v>District 4</v>
      </c>
      <c r="N3" s="4">
        <v>140.07991430101771</v>
      </c>
    </row>
    <row r="4" spans="1:14" x14ac:dyDescent="0.2">
      <c r="J4" s="5" t="str">
        <f>Pivots!A5</f>
        <v>State B</v>
      </c>
      <c r="K4" s="4">
        <f>Pivots!F5</f>
        <v>55.618405530379405</v>
      </c>
      <c r="M4" s="5" t="str">
        <v>District 15</v>
      </c>
      <c r="N4" s="4">
        <v>73.180098385949435</v>
      </c>
    </row>
    <row r="5" spans="1:14" x14ac:dyDescent="0.2">
      <c r="M5" s="5" t="str">
        <v>District 7</v>
      </c>
      <c r="N5" s="4">
        <v>70.963430381288831</v>
      </c>
    </row>
    <row r="6" spans="1:14" x14ac:dyDescent="0.2">
      <c r="M6" s="5" t="str">
        <v>District 12</v>
      </c>
      <c r="N6" s="4">
        <v>68.710982531951515</v>
      </c>
    </row>
    <row r="7" spans="1:14" x14ac:dyDescent="0.2">
      <c r="M7" s="5" t="str">
        <v>District 20</v>
      </c>
      <c r="N7" s="4">
        <v>63.188504808227819</v>
      </c>
    </row>
    <row r="8" spans="1:14" x14ac:dyDescent="0.2">
      <c r="M8" s="5" t="str">
        <v>District 18</v>
      </c>
      <c r="N8" s="4">
        <v>59.78899525978251</v>
      </c>
    </row>
    <row r="9" spans="1:14" x14ac:dyDescent="0.2">
      <c r="M9" s="5" t="str">
        <v>District 19</v>
      </c>
      <c r="N9" s="4">
        <v>58.041726144347727</v>
      </c>
    </row>
    <row r="10" spans="1:14" x14ac:dyDescent="0.2">
      <c r="M10" s="5" t="str">
        <v>District 13</v>
      </c>
      <c r="N10" s="4">
        <v>53.654715829379818</v>
      </c>
    </row>
    <row r="11" spans="1:14" x14ac:dyDescent="0.2">
      <c r="M11" s="5" t="str">
        <v>District 17</v>
      </c>
      <c r="N11" s="4">
        <v>47.866676484773961</v>
      </c>
    </row>
    <row r="12" spans="1:14" x14ac:dyDescent="0.2">
      <c r="M12" s="5" t="str">
        <v>District 14</v>
      </c>
      <c r="N12" s="4">
        <v>47.586076984232449</v>
      </c>
    </row>
  </sheetData>
  <mergeCells count="1">
    <mergeCell ref="A1:H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25FD-A67A-4FA5-820F-D6A35D4452B7}">
  <dimension ref="A1:H43"/>
  <sheetViews>
    <sheetView workbookViewId="0"/>
  </sheetViews>
  <sheetFormatPr baseColWidth="10" defaultColWidth="8.83203125" defaultRowHeight="15" x14ac:dyDescent="0.2"/>
  <cols>
    <col min="1" max="1" width="13.83203125" bestFit="1" customWidth="1"/>
    <col min="2" max="2" width="28.5" bestFit="1" customWidth="1"/>
    <col min="3" max="3" width="16.1640625" bestFit="1" customWidth="1"/>
    <col min="4" max="5" width="26.1640625" bestFit="1" customWidth="1"/>
    <col min="6" max="6" width="28.5" bestFit="1" customWidth="1"/>
  </cols>
  <sheetData>
    <row r="1" spans="1:8" ht="21" x14ac:dyDescent="0.25">
      <c r="A1" s="33" t="s">
        <v>33</v>
      </c>
      <c r="B1" s="33"/>
      <c r="C1" s="33"/>
      <c r="D1" s="33"/>
      <c r="E1" s="33"/>
      <c r="F1" s="33"/>
      <c r="G1" s="33"/>
      <c r="H1" s="33"/>
    </row>
    <row r="3" spans="1:8" x14ac:dyDescent="0.2">
      <c r="A3" s="12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</row>
    <row r="4" spans="1:8" x14ac:dyDescent="0.2">
      <c r="A4" s="13" t="s">
        <v>9</v>
      </c>
      <c r="B4" s="3">
        <v>3670412</v>
      </c>
      <c r="C4" s="2">
        <v>254</v>
      </c>
      <c r="D4" s="2">
        <v>1053</v>
      </c>
      <c r="E4" s="2">
        <v>73.2</v>
      </c>
      <c r="F4" s="4">
        <v>50.831539614524061</v>
      </c>
    </row>
    <row r="5" spans="1:8" x14ac:dyDescent="0.2">
      <c r="A5" s="13" t="s">
        <v>20</v>
      </c>
      <c r="B5" s="3">
        <v>2388328</v>
      </c>
      <c r="C5" s="2">
        <v>319</v>
      </c>
      <c r="D5" s="2">
        <v>1310</v>
      </c>
      <c r="E5" s="2">
        <v>75.2</v>
      </c>
      <c r="F5" s="4">
        <v>55.618405530379405</v>
      </c>
    </row>
    <row r="6" spans="1:8" x14ac:dyDescent="0.2">
      <c r="A6" s="13" t="s">
        <v>40</v>
      </c>
      <c r="B6" s="3">
        <v>6058740</v>
      </c>
      <c r="C6" s="2">
        <v>573</v>
      </c>
      <c r="D6" s="2">
        <v>2363</v>
      </c>
      <c r="E6" s="2">
        <v>74.2</v>
      </c>
      <c r="F6" s="4">
        <v>53.224972572451733</v>
      </c>
    </row>
    <row r="20" spans="1:4" x14ac:dyDescent="0.2">
      <c r="A20" s="12" t="s">
        <v>0</v>
      </c>
      <c r="B20" t="s">
        <v>41</v>
      </c>
    </row>
    <row r="22" spans="1:4" x14ac:dyDescent="0.2">
      <c r="A22" s="12" t="s">
        <v>34</v>
      </c>
      <c r="B22" t="s">
        <v>39</v>
      </c>
      <c r="C22" t="s">
        <v>42</v>
      </c>
      <c r="D22" t="s">
        <v>38</v>
      </c>
    </row>
    <row r="23" spans="1:4" x14ac:dyDescent="0.2">
      <c r="A23" s="13" t="s">
        <v>10</v>
      </c>
      <c r="B23" s="4">
        <v>37.979459934762517</v>
      </c>
      <c r="C23" s="3">
        <v>379843</v>
      </c>
      <c r="D23" s="2">
        <v>60</v>
      </c>
    </row>
    <row r="24" spans="1:4" x14ac:dyDescent="0.2">
      <c r="A24" s="13" t="s">
        <v>19</v>
      </c>
      <c r="B24" s="4">
        <v>46.359381992814562</v>
      </c>
      <c r="C24" s="3">
        <v>467891</v>
      </c>
      <c r="D24" s="2">
        <v>84</v>
      </c>
    </row>
    <row r="25" spans="1:4" x14ac:dyDescent="0.2">
      <c r="A25" s="13" t="s">
        <v>21</v>
      </c>
      <c r="B25" s="4">
        <v>38.998550807325842</v>
      </c>
      <c r="C25" s="3">
        <v>420648</v>
      </c>
      <c r="D25" s="2">
        <v>72</v>
      </c>
    </row>
    <row r="26" spans="1:4" x14ac:dyDescent="0.2">
      <c r="A26" s="13" t="s">
        <v>22</v>
      </c>
      <c r="B26" s="4">
        <v>68.710982531951515</v>
      </c>
      <c r="C26" s="3">
        <v>81921</v>
      </c>
      <c r="D26" s="2">
        <v>61</v>
      </c>
    </row>
    <row r="27" spans="1:4" x14ac:dyDescent="0.2">
      <c r="A27" s="13" t="s">
        <v>23</v>
      </c>
      <c r="B27" s="4">
        <v>53.654715829379818</v>
      </c>
      <c r="C27" s="3">
        <v>280131</v>
      </c>
      <c r="D27" s="2">
        <v>83</v>
      </c>
    </row>
    <row r="28" spans="1:4" x14ac:dyDescent="0.2">
      <c r="A28" s="13" t="s">
        <v>24</v>
      </c>
      <c r="B28" s="4">
        <v>47.586076984232449</v>
      </c>
      <c r="C28" s="3">
        <v>444013</v>
      </c>
      <c r="D28" s="2">
        <v>84</v>
      </c>
    </row>
    <row r="29" spans="1:4" x14ac:dyDescent="0.2">
      <c r="A29" s="13" t="s">
        <v>25</v>
      </c>
      <c r="B29" s="4">
        <v>73.180098385949435</v>
      </c>
      <c r="C29" s="3">
        <v>99811</v>
      </c>
      <c r="D29" s="2">
        <v>77</v>
      </c>
    </row>
    <row r="30" spans="1:4" x14ac:dyDescent="0.2">
      <c r="A30" s="13" t="s">
        <v>26</v>
      </c>
      <c r="B30" s="4">
        <v>45.167728067822942</v>
      </c>
      <c r="C30" s="3">
        <v>249827</v>
      </c>
      <c r="D30" s="2">
        <v>85</v>
      </c>
    </row>
    <row r="31" spans="1:4" x14ac:dyDescent="0.2">
      <c r="A31" s="13" t="s">
        <v>27</v>
      </c>
      <c r="B31" s="4">
        <v>47.866676484773961</v>
      </c>
      <c r="C31" s="3">
        <v>271607</v>
      </c>
      <c r="D31" s="2">
        <v>73</v>
      </c>
    </row>
    <row r="32" spans="1:4" x14ac:dyDescent="0.2">
      <c r="A32" s="13" t="s">
        <v>28</v>
      </c>
      <c r="B32" s="4">
        <v>59.78899525978251</v>
      </c>
      <c r="C32" s="3">
        <v>172144</v>
      </c>
      <c r="D32" s="2">
        <v>68</v>
      </c>
    </row>
    <row r="33" spans="1:4" x14ac:dyDescent="0.2">
      <c r="A33" s="13" t="s">
        <v>29</v>
      </c>
      <c r="B33" s="4">
        <v>58.041726144347727</v>
      </c>
      <c r="C33" s="3">
        <v>233561</v>
      </c>
      <c r="D33" s="2">
        <v>69</v>
      </c>
    </row>
    <row r="34" spans="1:4" x14ac:dyDescent="0.2">
      <c r="A34" s="13" t="s">
        <v>11</v>
      </c>
      <c r="B34" s="4">
        <v>29.66764484574869</v>
      </c>
      <c r="C34" s="3">
        <v>382752</v>
      </c>
      <c r="D34" s="2">
        <v>63</v>
      </c>
    </row>
    <row r="35" spans="1:4" x14ac:dyDescent="0.2">
      <c r="A35" s="13" t="s">
        <v>30</v>
      </c>
      <c r="B35" s="4">
        <v>63.188504808227819</v>
      </c>
      <c r="C35" s="3">
        <v>134665</v>
      </c>
      <c r="D35" s="2">
        <v>80</v>
      </c>
    </row>
    <row r="36" spans="1:4" x14ac:dyDescent="0.2">
      <c r="A36" s="13" t="s">
        <v>12</v>
      </c>
      <c r="B36" s="4">
        <v>31.43914648476089</v>
      </c>
      <c r="C36" s="3">
        <v>480835</v>
      </c>
      <c r="D36" s="2">
        <v>63</v>
      </c>
    </row>
    <row r="37" spans="1:4" x14ac:dyDescent="0.2">
      <c r="A37" s="13" t="s">
        <v>13</v>
      </c>
      <c r="B37" s="4">
        <v>140.07991430101771</v>
      </c>
      <c r="C37" s="3">
        <v>57877</v>
      </c>
      <c r="D37" s="2">
        <v>69</v>
      </c>
    </row>
    <row r="38" spans="1:4" x14ac:dyDescent="0.2">
      <c r="A38" s="13" t="s">
        <v>14</v>
      </c>
      <c r="B38" s="4">
        <v>40.461174926156879</v>
      </c>
      <c r="C38" s="3">
        <v>396110</v>
      </c>
      <c r="D38" s="2">
        <v>79</v>
      </c>
    </row>
    <row r="39" spans="1:4" x14ac:dyDescent="0.2">
      <c r="A39" s="13" t="s">
        <v>15</v>
      </c>
      <c r="B39" s="4">
        <v>37.185581245913717</v>
      </c>
      <c r="C39" s="3">
        <v>445087</v>
      </c>
      <c r="D39" s="2">
        <v>81</v>
      </c>
    </row>
    <row r="40" spans="1:4" x14ac:dyDescent="0.2">
      <c r="A40" s="13" t="s">
        <v>16</v>
      </c>
      <c r="B40" s="4">
        <v>70.963430381288831</v>
      </c>
      <c r="C40" s="3">
        <v>123135</v>
      </c>
      <c r="D40" s="2">
        <v>83</v>
      </c>
    </row>
    <row r="41" spans="1:4" x14ac:dyDescent="0.2">
      <c r="A41" s="13" t="s">
        <v>17</v>
      </c>
      <c r="B41" s="4">
        <v>38.380830670926521</v>
      </c>
      <c r="C41" s="3">
        <v>445712</v>
      </c>
      <c r="D41" s="2">
        <v>66</v>
      </c>
    </row>
    <row r="42" spans="1:4" x14ac:dyDescent="0.2">
      <c r="A42" s="13" t="s">
        <v>18</v>
      </c>
      <c r="B42" s="4">
        <v>35.798831361850283</v>
      </c>
      <c r="C42" s="3">
        <v>491170</v>
      </c>
      <c r="D42" s="2">
        <v>84</v>
      </c>
    </row>
    <row r="43" spans="1:4" x14ac:dyDescent="0.2">
      <c r="A43" s="13" t="s">
        <v>40</v>
      </c>
      <c r="B43" s="4">
        <v>53.224972572451726</v>
      </c>
      <c r="C43" s="3">
        <v>6058740</v>
      </c>
      <c r="D43" s="2">
        <v>74.2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0CDE-97D5-450F-902D-92E929AB4026}">
  <dimension ref="A1:N30"/>
  <sheetViews>
    <sheetView tabSelected="1" workbookViewId="0">
      <pane ySplit="6" topLeftCell="A7" activePane="bottomLeft" state="frozen"/>
      <selection pane="bottomLeft" activeCell="A2" sqref="A2:N2"/>
    </sheetView>
  </sheetViews>
  <sheetFormatPr baseColWidth="10" defaultColWidth="8.83203125" defaultRowHeight="15" x14ac:dyDescent="0.2"/>
  <cols>
    <col min="1" max="1" width="9.1640625" bestFit="1" customWidth="1"/>
    <col min="2" max="2" width="22.33203125" bestFit="1" customWidth="1"/>
    <col min="3" max="3" width="16.1640625" bestFit="1" customWidth="1"/>
    <col min="4" max="4" width="15.33203125" bestFit="1" customWidth="1"/>
    <col min="5" max="5" width="19" bestFit="1" customWidth="1"/>
  </cols>
  <sheetData>
    <row r="1" spans="1:14" ht="26" x14ac:dyDescent="0.3">
      <c r="A1" s="28" t="s">
        <v>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">
      <c r="A2" s="30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">
      <c r="A3" s="20" t="s">
        <v>35</v>
      </c>
      <c r="B3" s="21"/>
      <c r="C3" s="20" t="s">
        <v>36</v>
      </c>
      <c r="D3" s="21"/>
      <c r="E3" s="20" t="s">
        <v>37</v>
      </c>
      <c r="F3" s="21"/>
      <c r="G3" s="20" t="s">
        <v>44</v>
      </c>
      <c r="H3" s="21"/>
      <c r="I3" s="20" t="s">
        <v>32</v>
      </c>
      <c r="J3" s="24"/>
      <c r="K3" s="17" t="s">
        <v>45</v>
      </c>
      <c r="L3" s="17"/>
      <c r="M3" s="17"/>
      <c r="N3" s="17"/>
    </row>
    <row r="4" spans="1:14" ht="21" x14ac:dyDescent="0.2">
      <c r="A4" s="31">
        <f>Pivots!B6</f>
        <v>6058740</v>
      </c>
      <c r="B4" s="23"/>
      <c r="C4" s="31">
        <f>Pivots!C6</f>
        <v>573</v>
      </c>
      <c r="D4" s="23"/>
      <c r="E4" s="31">
        <f>Pivots!D6</f>
        <v>2363</v>
      </c>
      <c r="F4" s="23"/>
      <c r="G4" s="22">
        <f>Pivots!E6</f>
        <v>74.2</v>
      </c>
      <c r="H4" s="23"/>
      <c r="I4" s="25">
        <f>Pivots!F6</f>
        <v>53.224972572451733</v>
      </c>
      <c r="J4" s="26"/>
    </row>
    <row r="5" spans="1:14" ht="21" x14ac:dyDescent="0.2">
      <c r="A5" s="18"/>
      <c r="B5" s="19"/>
      <c r="C5" s="18"/>
      <c r="D5" s="19"/>
      <c r="E5" s="18"/>
      <c r="F5" s="19"/>
      <c r="G5" s="18"/>
      <c r="H5" s="19"/>
      <c r="I5" s="18"/>
      <c r="J5" s="27"/>
    </row>
    <row r="7" spans="1:14" x14ac:dyDescent="0.2">
      <c r="A7" s="14" t="s">
        <v>0</v>
      </c>
      <c r="B7" s="14" t="s">
        <v>32</v>
      </c>
      <c r="C7" s="14" t="s">
        <v>44</v>
      </c>
      <c r="D7" s="14" t="s">
        <v>35</v>
      </c>
      <c r="E7" s="14" t="s">
        <v>36</v>
      </c>
    </row>
    <row r="8" spans="1:14" x14ac:dyDescent="0.2">
      <c r="A8" t="str" cm="1">
        <f t="array" ref="A8:E9">_xlfn.LET(_xlpm.r,_xlfn._xlws.FILTER(Pivots!A4:F6,Pivots!A4:A6&lt;&gt;"Grand Total"),_xlfn.CHOOSECOLS(_xlpm.r,1,6,5,2,3))</f>
        <v>State A</v>
      </c>
      <c r="B8" s="4">
        <v>50.831539614524061</v>
      </c>
      <c r="C8" s="2">
        <v>73.2</v>
      </c>
      <c r="D8" s="3">
        <v>3670412</v>
      </c>
      <c r="E8" s="3">
        <v>254</v>
      </c>
    </row>
    <row r="9" spans="1:14" x14ac:dyDescent="0.2">
      <c r="A9" t="str">
        <v>State B</v>
      </c>
      <c r="B9" s="4">
        <v>55.618405530379405</v>
      </c>
      <c r="C9" s="2">
        <v>75.2</v>
      </c>
      <c r="D9" s="3">
        <v>2388328</v>
      </c>
      <c r="E9" s="3">
        <v>319</v>
      </c>
    </row>
    <row r="10" spans="1:14" x14ac:dyDescent="0.2">
      <c r="B10" s="4"/>
      <c r="C10" s="2"/>
      <c r="D10" s="3"/>
      <c r="E10" s="3"/>
    </row>
    <row r="11" spans="1:14" x14ac:dyDescent="0.2">
      <c r="B11" s="4"/>
      <c r="C11" s="2"/>
      <c r="D11" s="3"/>
      <c r="E11" s="3"/>
    </row>
    <row r="12" spans="1:14" x14ac:dyDescent="0.2">
      <c r="B12" s="4"/>
      <c r="C12" s="2"/>
      <c r="D12" s="3"/>
      <c r="E12" s="3"/>
    </row>
    <row r="13" spans="1:14" x14ac:dyDescent="0.2">
      <c r="A13" s="14" t="s">
        <v>1</v>
      </c>
      <c r="B13" s="15" t="s">
        <v>32</v>
      </c>
      <c r="C13" s="16" t="s">
        <v>42</v>
      </c>
      <c r="D13" s="3"/>
      <c r="E13" s="3"/>
    </row>
    <row r="14" spans="1:14" x14ac:dyDescent="0.2">
      <c r="A14" t="str" cm="1">
        <f t="array" ref="A14:C23">_xlfn.LET(_xlpm.r,_xlfn._xlws.FILTER(Pivots!A23:C42,(Pivots!A23:A42&lt;&gt;"Grand Total")*(Pivots!A23:A42&lt;&gt;"")),_xlpm.sorted,_xlfn._xlws.SORT(_xlpm.r,2,-1),_xlfn.TAKE(_xlpm.sorted,10))</f>
        <v>District 4</v>
      </c>
      <c r="B14" s="4">
        <v>140.07991430101771</v>
      </c>
      <c r="C14" s="3">
        <v>57877</v>
      </c>
      <c r="D14" s="3"/>
      <c r="E14" s="3"/>
    </row>
    <row r="15" spans="1:14" x14ac:dyDescent="0.2">
      <c r="A15" t="str">
        <v>District 15</v>
      </c>
      <c r="B15" s="4">
        <v>73.180098385949435</v>
      </c>
      <c r="C15" s="3">
        <v>99811</v>
      </c>
      <c r="D15" s="3"/>
      <c r="E15" s="3"/>
    </row>
    <row r="16" spans="1:14" x14ac:dyDescent="0.2">
      <c r="A16" t="str">
        <v>District 7</v>
      </c>
      <c r="B16" s="4">
        <v>70.963430381288831</v>
      </c>
      <c r="C16" s="3">
        <v>123135</v>
      </c>
      <c r="D16" s="3"/>
      <c r="E16" s="3"/>
    </row>
    <row r="17" spans="1:5" x14ac:dyDescent="0.2">
      <c r="A17" t="str">
        <v>District 12</v>
      </c>
      <c r="B17" s="4">
        <v>68.710982531951515</v>
      </c>
      <c r="C17" s="3">
        <v>81921</v>
      </c>
      <c r="D17" s="3"/>
      <c r="E17" s="3"/>
    </row>
    <row r="18" spans="1:5" x14ac:dyDescent="0.2">
      <c r="A18" t="str">
        <v>District 20</v>
      </c>
      <c r="B18" s="4">
        <v>63.188504808227819</v>
      </c>
      <c r="C18" s="3">
        <v>134665</v>
      </c>
      <c r="D18" s="3"/>
      <c r="E18" s="3"/>
    </row>
    <row r="19" spans="1:5" x14ac:dyDescent="0.2">
      <c r="A19" t="str">
        <v>District 18</v>
      </c>
      <c r="B19" s="4">
        <v>59.78899525978251</v>
      </c>
      <c r="C19" s="3">
        <v>172144</v>
      </c>
      <c r="D19" s="3"/>
      <c r="E19" s="3"/>
    </row>
    <row r="20" spans="1:5" x14ac:dyDescent="0.2">
      <c r="A20" t="str">
        <v>District 19</v>
      </c>
      <c r="B20" s="4">
        <v>58.041726144347727</v>
      </c>
      <c r="C20" s="3">
        <v>233561</v>
      </c>
      <c r="D20" s="3"/>
      <c r="E20" s="3"/>
    </row>
    <row r="21" spans="1:5" x14ac:dyDescent="0.2">
      <c r="A21" t="str">
        <v>District 13</v>
      </c>
      <c r="B21" s="4">
        <v>53.654715829379818</v>
      </c>
      <c r="C21" s="3">
        <v>280131</v>
      </c>
    </row>
    <row r="22" spans="1:5" x14ac:dyDescent="0.2">
      <c r="A22" t="str">
        <v>District 17</v>
      </c>
      <c r="B22" s="4">
        <v>47.866676484773961</v>
      </c>
      <c r="C22" s="3">
        <v>271607</v>
      </c>
    </row>
    <row r="23" spans="1:5" x14ac:dyDescent="0.2">
      <c r="A23" t="str">
        <v>District 14</v>
      </c>
      <c r="B23" s="4">
        <v>47.586076984232449</v>
      </c>
      <c r="C23" s="3">
        <v>444013</v>
      </c>
    </row>
    <row r="24" spans="1:5" x14ac:dyDescent="0.2">
      <c r="B24" s="4"/>
      <c r="C24" s="3"/>
    </row>
    <row r="25" spans="1:5" x14ac:dyDescent="0.2">
      <c r="B25" s="4"/>
      <c r="C25" s="3"/>
    </row>
    <row r="26" spans="1:5" x14ac:dyDescent="0.2">
      <c r="B26" s="4"/>
      <c r="C26" s="3"/>
    </row>
    <row r="27" spans="1:5" x14ac:dyDescent="0.2">
      <c r="B27" s="4"/>
      <c r="C27" s="3"/>
    </row>
    <row r="28" spans="1:5" x14ac:dyDescent="0.2">
      <c r="B28" s="4"/>
      <c r="C28" s="3"/>
    </row>
    <row r="29" spans="1:5" x14ac:dyDescent="0.2">
      <c r="B29" s="4"/>
      <c r="C29" s="3"/>
    </row>
    <row r="30" spans="1:5" x14ac:dyDescent="0.2">
      <c r="B30" s="4"/>
      <c r="C30" s="3"/>
    </row>
  </sheetData>
  <mergeCells count="18">
    <mergeCell ref="A1:N1"/>
    <mergeCell ref="A2:N2"/>
    <mergeCell ref="A3:B3"/>
    <mergeCell ref="A4:B4"/>
    <mergeCell ref="A5:B5"/>
    <mergeCell ref="C3:D3"/>
    <mergeCell ref="C4:D4"/>
    <mergeCell ref="C5:D5"/>
    <mergeCell ref="E3:F3"/>
    <mergeCell ref="E4:F4"/>
    <mergeCell ref="K3:N3"/>
    <mergeCell ref="E5:F5"/>
    <mergeCell ref="G3:H3"/>
    <mergeCell ref="G4:H4"/>
    <mergeCell ref="G5:H5"/>
    <mergeCell ref="I3:J3"/>
    <mergeCell ref="I4:J4"/>
    <mergeCell ref="I5:J5"/>
  </mergeCells>
  <conditionalFormatting sqref="B14:B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{9088765E-27FA-4A5D-B58A-9B06A927B3DC}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88765E-27FA-4A5D-B58A-9B06A927B3DC}">
            <x14:dataBar minLength="0" maxLength="100" negativeBarColorSameAsPositive="1" axisPosition="none">
              <x14:cfvo type="min"/>
              <x14:cfvo type="max"/>
            </x14:dataBar>
          </x14:cfRule>
          <xm:sqref>B14:B23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Dashboard</vt:lpstr>
      <vt:lpstr>Pivots</vt:lpstr>
      <vt:lpstr>Executive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Yash Shah</cp:lastModifiedBy>
  <cp:revision/>
  <dcterms:created xsi:type="dcterms:W3CDTF">2026-04-23T20:48:37Z</dcterms:created>
  <dcterms:modified xsi:type="dcterms:W3CDTF">2026-04-23T22:08:36Z</dcterms:modified>
  <cp:category/>
  <cp:contentStatus/>
</cp:coreProperties>
</file>